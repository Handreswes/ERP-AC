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uditoría Millenio" sheetId="1" state="visible" r:id="rId1"/>
    <sheet name="35 Entregados (A Pagar Hoy)" sheetId="2" state="visible" r:id="rId2"/>
    <sheet name="10 En Despacho (Retenidos)" sheetId="3" state="visible" r:id="rId3"/>
    <sheet name="1 Devolución (Anulado $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164" fontId="4" fillId="3" borderId="1" pivotButton="0" quotePrefix="0" xfId="0"/>
    <xf numFmtId="0" fontId="0" fillId="3" borderId="1" applyAlignment="1" pivotButton="0" quotePrefix="0" xfId="0">
      <alignment horizontal="center"/>
    </xf>
    <xf numFmtId="164" fontId="4" fillId="4" borderId="1" pivotButton="0" quotePrefix="0" xfId="0"/>
    <xf numFmtId="0" fontId="0" fillId="4" borderId="1" applyAlignment="1" pivotButton="0" quotePrefix="0" xfId="0">
      <alignment horizontal="center"/>
    </xf>
    <xf numFmtId="164" fontId="4" fillId="5" borderId="1" pivotButton="0" quotePrefix="0" xfId="0"/>
    <xf numFmtId="0" fontId="0" fillId="5" borderId="1" applyAlignment="1" pivotButton="0" quotePrefix="0" xfId="0">
      <alignment horizontal="center"/>
    </xf>
    <xf numFmtId="0" fontId="4" fillId="0" borderId="2" pivotButton="0" quotePrefix="0" xfId="0"/>
    <xf numFmtId="164" fontId="4" fillId="0" borderId="2" pivotButton="0" quotePrefix="0" xfId="0"/>
    <xf numFmtId="164" fontId="4" fillId="3" borderId="2" pivotButton="0" quotePrefix="0" xfId="0"/>
    <xf numFmtId="0" fontId="4" fillId="0" borderId="2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0" fillId="0" borderId="2" pivotButton="0" quotePrefix="0" xfId="0"/>
    <xf numFmtId="164" fontId="5" fillId="4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3" customWidth="1" min="2" max="2"/>
    <col width="25" customWidth="1" min="3" max="3"/>
    <col width="38" customWidth="1" min="4" max="4"/>
    <col width="31" customWidth="1" min="5" max="5"/>
  </cols>
  <sheetData>
    <row r="1">
      <c r="A1" s="1" t="inlineStr">
        <is>
          <t>ERP AC - Informe de Auditoría de Cuentas por Pagar: BODEGA MILLENIO</t>
        </is>
      </c>
    </row>
    <row r="2">
      <c r="A2" s="2" t="inlineStr">
        <is>
          <t>Fecha de auditoría: 2026-09-09 | Regla de Liquidez: Solo se paga costo de mercancía por pedidos ENTREGADOS (status='recibido').</t>
        </is>
      </c>
    </row>
    <row r="3"/>
    <row r="4">
      <c r="A4" s="3" t="inlineStr">
        <is>
          <t>Concepto / Estado del Inventario</t>
        </is>
      </c>
      <c r="B4" s="3" t="inlineStr">
        <is>
          <t>Cantidad de Órdenes</t>
        </is>
      </c>
      <c r="C4" s="3" t="inlineStr">
        <is>
          <t>Valor Venta Bruto ($)</t>
        </is>
      </c>
      <c r="D4" s="3" t="inlineStr">
        <is>
          <t>Costo Real Inventario Millenio ($)</t>
        </is>
      </c>
      <c r="E4" s="3" t="inlineStr">
        <is>
          <t>Estado Exigibilidad de Pago</t>
        </is>
      </c>
    </row>
    <row r="5">
      <c r="A5" s="4" t="inlineStr">
        <is>
          <t>✅ Entregados (Tu Compras)</t>
        </is>
      </c>
      <c r="B5" s="5" t="n">
        <v>35</v>
      </c>
      <c r="C5" s="6" t="n">
        <v>11432000</v>
      </c>
      <c r="D5" s="7" t="n">
        <v>7730000</v>
      </c>
      <c r="E5" s="8" t="inlineStr">
        <is>
          <t>EXIGIBLE A PAGAR HOY</t>
        </is>
      </c>
    </row>
    <row r="6">
      <c r="A6" s="4" t="inlineStr">
        <is>
          <t>⏳ En Despacho / Tránsito</t>
        </is>
      </c>
      <c r="B6" s="5" t="n">
        <v>10</v>
      </c>
      <c r="C6" s="6" t="n">
        <v>3130000</v>
      </c>
      <c r="D6" s="9" t="n">
        <v>2130000</v>
      </c>
      <c r="E6" s="10" t="inlineStr">
        <is>
          <t>RETENIDO (Esperar Entrega)</t>
        </is>
      </c>
    </row>
    <row r="7">
      <c r="A7" s="4" t="inlineStr">
        <is>
          <t>❌ Devoluciones (Regresó a Stock)</t>
        </is>
      </c>
      <c r="B7" s="5" t="n">
        <v>1</v>
      </c>
      <c r="C7" s="6" t="n">
        <v>259000</v>
      </c>
      <c r="D7" s="11" t="n">
        <v>0</v>
      </c>
      <c r="E7" s="12" t="inlineStr">
        <is>
          <t>ANULADO ($0 A Pagar)</t>
        </is>
      </c>
    </row>
    <row r="8">
      <c r="A8" s="13" t="inlineStr">
        <is>
          <t>TOTAL FACTURAS A PAGAR A MILLENIO HOY</t>
        </is>
      </c>
      <c r="B8" s="13" t="n">
        <v>35</v>
      </c>
      <c r="C8" s="14" t="n">
        <v>11432000</v>
      </c>
      <c r="D8" s="15" t="n">
        <v>7730000</v>
      </c>
      <c r="E8" s="16" t="inlineStr">
        <is>
          <t>LIQUIDACIÓN OFICIAL</t>
        </is>
      </c>
    </row>
    <row r="9"/>
    <row r="10">
      <c r="A10" s="1" t="inlineStr">
        <is>
          <t>🏢 Módulo Ventas Mayoristas Millenio</t>
        </is>
      </c>
    </row>
    <row r="11">
      <c r="A11" s="17" t="inlineStr">
        <is>
          <t>Total Facturado Mayorista: $290.591.002 COP (373 ventas)</t>
        </is>
      </c>
    </row>
    <row r="12">
      <c r="A12" s="17" t="inlineStr">
        <is>
          <t>Cartera Mayorista Pendiente por Cobrar a Clientes: $74.440.002 COP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48" customWidth="1" min="4" max="4"/>
    <col width="16" customWidth="1" min="5" max="5"/>
    <col width="27" customWidth="1" min="6" max="6"/>
    <col width="16" customWidth="1" min="7" max="7"/>
    <col width="19" customWidth="1" min="8" max="8"/>
    <col width="17" customWidth="1" min="9" max="9"/>
    <col width="19" customWidth="1" min="10" max="10"/>
    <col width="32" customWidth="1" min="11" max="11"/>
  </cols>
  <sheetData>
    <row r="1">
      <c r="A1" s="1" t="inlineStr">
        <is>
          <t>ERP AC - Detalle de Órdenes Millenio: 35 Entregados (A Pagar Hoy)</t>
        </is>
      </c>
    </row>
    <row r="2">
      <c r="A2" s="2" t="inlineStr">
        <is>
          <t>Total Registros: 35</t>
        </is>
      </c>
    </row>
    <row r="3"/>
    <row r="4">
      <c r="A4" s="3" t="inlineStr">
        <is>
          <t>N°</t>
        </is>
      </c>
      <c r="B4" s="3" t="inlineStr">
        <is>
          <t>ID Orden</t>
        </is>
      </c>
      <c r="C4" s="3" t="inlineStr">
        <is>
          <t>Fecha</t>
        </is>
      </c>
      <c r="D4" s="3" t="inlineStr">
        <is>
          <t>Cliente</t>
        </is>
      </c>
      <c r="E4" s="3" t="inlineStr">
        <is>
          <t>Teléfono</t>
        </is>
      </c>
      <c r="F4" s="3" t="inlineStr">
        <is>
          <t>Vendedor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COSTO A PAGAR A MILLENIO ($)</t>
        </is>
      </c>
    </row>
    <row r="5">
      <c r="A5" s="18" t="n">
        <v>1</v>
      </c>
      <c r="B5" s="19" t="inlineStr">
        <is>
          <t>TC-TEST-001</t>
        </is>
      </c>
      <c r="C5" s="19" t="inlineStr">
        <is>
          <t>2026-06-16</t>
        </is>
      </c>
      <c r="D5" s="19" t="inlineStr">
        <is>
          <t>[PRUEBA] Juan Perez (Recibida)</t>
        </is>
      </c>
      <c r="E5" s="19" t="inlineStr">
        <is>
          <t>3015551122</t>
        </is>
      </c>
      <c r="F5" s="19" t="inlineStr">
        <is>
          <t>test vendedor tucompras</t>
        </is>
      </c>
      <c r="G5" s="19" t="inlineStr">
        <is>
          <t>recibido</t>
        </is>
      </c>
      <c r="H5" s="19" t="inlineStr">
        <is>
          <t>Servientrega</t>
        </is>
      </c>
      <c r="I5" s="19" t="inlineStr">
        <is>
          <t>TC-HOY-001</t>
        </is>
      </c>
      <c r="J5" s="20" t="n">
        <v>338000</v>
      </c>
      <c r="K5" s="21" t="n">
        <v>140000</v>
      </c>
    </row>
    <row r="6">
      <c r="A6" s="18" t="n">
        <v>2</v>
      </c>
      <c r="B6" s="19" t="inlineStr">
        <is>
          <t>053ac07c-be43-4507-b203-452d8aa81fe5</t>
        </is>
      </c>
      <c r="C6" s="19" t="inlineStr">
        <is>
          <t>2026-08-20</t>
        </is>
      </c>
      <c r="D6" s="19" t="inlineStr">
        <is>
          <t>JAIME URIBE</t>
        </is>
      </c>
      <c r="E6" s="19" t="inlineStr">
        <is>
          <t>3212039630</t>
        </is>
      </c>
      <c r="F6" s="19" t="inlineStr">
        <is>
          <t>Laura Caycedo</t>
        </is>
      </c>
      <c r="G6" s="19" t="inlineStr">
        <is>
          <t>recibido</t>
        </is>
      </c>
      <c r="H6" s="19" t="inlineStr">
        <is>
          <t>Interrapidisimo</t>
        </is>
      </c>
      <c r="I6" s="19" t="inlineStr">
        <is>
          <t>240058200697</t>
        </is>
      </c>
      <c r="J6" s="20" t="n">
        <v>249000</v>
      </c>
      <c r="K6" s="21" t="n">
        <v>150000</v>
      </c>
    </row>
    <row r="7">
      <c r="A7" s="18" t="n">
        <v>3</v>
      </c>
      <c r="B7" s="19" t="inlineStr">
        <is>
          <t>dcc40b0e-8c6d-4c72-9006-7f8be697cd6e</t>
        </is>
      </c>
      <c r="C7" s="19" t="inlineStr">
        <is>
          <t>2026-08-20</t>
        </is>
      </c>
      <c r="D7" s="19" t="inlineStr">
        <is>
          <t>VICTOR MUÑOZ</t>
        </is>
      </c>
      <c r="E7" s="19" t="inlineStr">
        <is>
          <t>3233461577</t>
        </is>
      </c>
      <c r="F7" s="19" t="inlineStr">
        <is>
          <t>Laura Caycedo</t>
        </is>
      </c>
      <c r="G7" s="19" t="inlineStr">
        <is>
          <t>recibido</t>
        </is>
      </c>
      <c r="H7" s="19" t="inlineStr">
        <is>
          <t>Envía</t>
        </is>
      </c>
      <c r="I7" s="19" t="inlineStr">
        <is>
          <t>954101508852</t>
        </is>
      </c>
      <c r="J7" s="20" t="n">
        <v>259000</v>
      </c>
      <c r="K7" s="21" t="n">
        <v>180000</v>
      </c>
    </row>
    <row r="8">
      <c r="A8" s="18" t="n">
        <v>4</v>
      </c>
      <c r="B8" s="19" t="inlineStr">
        <is>
          <t>7b5cd76e-53db-448b-a001-cc1ddb9f3d62</t>
        </is>
      </c>
      <c r="C8" s="19" t="inlineStr">
        <is>
          <t>2026-08-06</t>
        </is>
      </c>
      <c r="D8" s="19" t="inlineStr">
        <is>
          <t>JHON JAIRO ALZATE</t>
        </is>
      </c>
      <c r="E8" s="19" t="inlineStr">
        <is>
          <t>3104023128</t>
        </is>
      </c>
      <c r="F8" s="19" t="inlineStr">
        <is>
          <t>Dropshipper</t>
        </is>
      </c>
      <c r="G8" s="19" t="inlineStr">
        <is>
          <t>recibido</t>
        </is>
      </c>
      <c r="H8" s="19" t="inlineStr">
        <is>
          <t>Interrapidisimo</t>
        </is>
      </c>
      <c r="I8" s="19" t="inlineStr">
        <is>
          <t>240058546517</t>
        </is>
      </c>
      <c r="J8" s="20" t="n">
        <v>450000</v>
      </c>
      <c r="K8" s="21" t="n">
        <v>400000</v>
      </c>
    </row>
    <row r="9">
      <c r="A9" s="18" t="n">
        <v>5</v>
      </c>
      <c r="B9" s="19" t="inlineStr">
        <is>
          <t>38ae2a20-fc58-4169-83c3-8a2f745b302a</t>
        </is>
      </c>
      <c r="C9" s="19" t="inlineStr">
        <is>
          <t>2026-08-06</t>
        </is>
      </c>
      <c r="D9" s="19" t="inlineStr">
        <is>
          <t>LUIS OJEDA</t>
        </is>
      </c>
      <c r="E9" s="19" t="inlineStr">
        <is>
          <t>3016518016</t>
        </is>
      </c>
      <c r="F9" s="19" t="inlineStr">
        <is>
          <t>Luisa Narvaez</t>
        </is>
      </c>
      <c r="G9" s="19" t="inlineStr">
        <is>
          <t>recibido</t>
        </is>
      </c>
      <c r="H9" s="19" t="inlineStr">
        <is>
          <t>Envía</t>
        </is>
      </c>
      <c r="I9" s="19" t="inlineStr">
        <is>
          <t>954101511234</t>
        </is>
      </c>
      <c r="J9" s="20" t="n">
        <v>340000</v>
      </c>
      <c r="K9" s="21" t="n">
        <v>240000</v>
      </c>
    </row>
    <row r="10">
      <c r="A10" s="18" t="n">
        <v>6</v>
      </c>
      <c r="B10" s="19" t="inlineStr">
        <is>
          <t>2750a35e-1e83-45c9-a092-68d61f5e8942</t>
        </is>
      </c>
      <c r="C10" s="19" t="inlineStr">
        <is>
          <t>2026-08-20</t>
        </is>
      </c>
      <c r="D10" s="19" t="inlineStr">
        <is>
          <t>YEISON SERNA</t>
        </is>
      </c>
      <c r="E10" s="19" t="inlineStr">
        <is>
          <t>240058284794</t>
        </is>
      </c>
      <c r="F10" s="19" t="inlineStr">
        <is>
          <t>Laura Caycedo</t>
        </is>
      </c>
      <c r="G10" s="19" t="inlineStr">
        <is>
          <t>recibido</t>
        </is>
      </c>
      <c r="H10" s="19" t="inlineStr">
        <is>
          <t>Interrapidisimo</t>
        </is>
      </c>
      <c r="I10" s="19" t="inlineStr">
        <is>
          <t>240058284794</t>
        </is>
      </c>
      <c r="J10" s="20" t="n">
        <v>249000</v>
      </c>
      <c r="K10" s="21" t="n">
        <v>150000</v>
      </c>
    </row>
    <row r="11">
      <c r="A11" s="18" t="n">
        <v>7</v>
      </c>
      <c r="B11" s="19" t="inlineStr">
        <is>
          <t>bfbc7cd0-5f64-458c-bd89-267bfcda29b8</t>
        </is>
      </c>
      <c r="C11" s="19" t="inlineStr">
        <is>
          <t>2026-08-06</t>
        </is>
      </c>
      <c r="D11" s="19" t="inlineStr">
        <is>
          <t>CARLOS COLLADO</t>
        </is>
      </c>
      <c r="E11" s="19" t="inlineStr">
        <is>
          <t>3106649176</t>
        </is>
      </c>
      <c r="F11" s="19" t="inlineStr">
        <is>
          <t>Luisa Narvaez</t>
        </is>
      </c>
      <c r="G11" s="19" t="inlineStr">
        <is>
          <t>recibido</t>
        </is>
      </c>
      <c r="H11" s="19" t="inlineStr">
        <is>
          <t>Envía</t>
        </is>
      </c>
      <c r="I11" s="19" t="inlineStr">
        <is>
          <t>954101510678</t>
        </is>
      </c>
      <c r="J11" s="20" t="n">
        <v>340000</v>
      </c>
      <c r="K11" s="21" t="n">
        <v>240000</v>
      </c>
    </row>
    <row r="12">
      <c r="A12" s="18" t="n">
        <v>8</v>
      </c>
      <c r="B12" s="19" t="inlineStr">
        <is>
          <t>9e8fb4a3-426c-4c85-8bd5-5317e57967f7</t>
        </is>
      </c>
      <c r="C12" s="19" t="inlineStr">
        <is>
          <t>2026-08-20</t>
        </is>
      </c>
      <c r="D12" s="19" t="inlineStr">
        <is>
          <t>DAVE MENDOZA</t>
        </is>
      </c>
      <c r="E12" s="19" t="inlineStr">
        <is>
          <t>3046465917</t>
        </is>
      </c>
      <c r="F12" s="19" t="inlineStr">
        <is>
          <t>Laura Caycedo</t>
        </is>
      </c>
      <c r="G12" s="19" t="inlineStr">
        <is>
          <t>recibido</t>
        </is>
      </c>
      <c r="H12" s="19" t="inlineStr">
        <is>
          <t>Interrapidisimo</t>
        </is>
      </c>
      <c r="I12" s="19" t="inlineStr">
        <is>
          <t>240058654234</t>
        </is>
      </c>
      <c r="J12" s="20" t="n">
        <v>349000</v>
      </c>
      <c r="K12" s="21" t="n">
        <v>230000</v>
      </c>
    </row>
    <row r="13">
      <c r="A13" s="18" t="n">
        <v>9</v>
      </c>
      <c r="B13" s="19" t="inlineStr">
        <is>
          <t>b8e73a6f-cf3e-44f5-8a12-9d2f8c09edbd</t>
        </is>
      </c>
      <c r="C13" s="19" t="inlineStr">
        <is>
          <t>2026-08-20</t>
        </is>
      </c>
      <c r="D13" s="19" t="inlineStr">
        <is>
          <t>LUIS VENEGAS</t>
        </is>
      </c>
      <c r="E13" s="19" t="inlineStr">
        <is>
          <t>3117236376</t>
        </is>
      </c>
      <c r="F13" s="19" t="inlineStr">
        <is>
          <t>CIND FAJARDO</t>
        </is>
      </c>
      <c r="G13" s="19" t="inlineStr">
        <is>
          <t>recibido</t>
        </is>
      </c>
      <c r="H13" s="19" t="inlineStr">
        <is>
          <t>Interrapidisimo</t>
        </is>
      </c>
      <c r="I13" s="19" t="inlineStr">
        <is>
          <t>240058646951</t>
        </is>
      </c>
      <c r="J13" s="20" t="n">
        <v>269000</v>
      </c>
      <c r="K13" s="21" t="n">
        <v>180000</v>
      </c>
    </row>
    <row r="14">
      <c r="A14" s="18" t="n">
        <v>10</v>
      </c>
      <c r="B14" s="19" t="inlineStr">
        <is>
          <t>25aa8023-f645-4eb9-9594-1c98d168d26b</t>
        </is>
      </c>
      <c r="C14" s="19" t="inlineStr">
        <is>
          <t>2026-08-20</t>
        </is>
      </c>
      <c r="D14" s="19" t="inlineStr">
        <is>
          <t>JAINER ESPINOSA MONTOYA</t>
        </is>
      </c>
      <c r="E14" s="19" t="inlineStr">
        <is>
          <t>3118057988</t>
        </is>
      </c>
      <c r="F14" s="19" t="inlineStr">
        <is>
          <t>Laura Caycedo</t>
        </is>
      </c>
      <c r="G14" s="19" t="inlineStr">
        <is>
          <t>recibido</t>
        </is>
      </c>
      <c r="H14" s="19" t="inlineStr">
        <is>
          <t>Interrapidisimo</t>
        </is>
      </c>
      <c r="I14" s="19" t="inlineStr">
        <is>
          <t xml:space="preserve"> 240058654163</t>
        </is>
      </c>
      <c r="J14" s="20" t="n">
        <v>249000</v>
      </c>
      <c r="K14" s="21" t="n">
        <v>150000</v>
      </c>
    </row>
    <row r="15">
      <c r="A15" s="18" t="n">
        <v>11</v>
      </c>
      <c r="B15" s="19" t="inlineStr">
        <is>
          <t>d6239a6e-724f-4202-9f88-835d57829c94</t>
        </is>
      </c>
      <c r="C15" s="19" t="inlineStr">
        <is>
          <t>2026-08-26</t>
        </is>
      </c>
      <c r="D15" s="19" t="inlineStr">
        <is>
          <t>ALEXANDER TURRIAGO</t>
        </is>
      </c>
      <c r="E15" s="19" t="inlineStr">
        <is>
          <t>3105879536</t>
        </is>
      </c>
      <c r="F15" s="19" t="inlineStr">
        <is>
          <t>Luisa Narvaez</t>
        </is>
      </c>
      <c r="G15" s="19" t="inlineStr">
        <is>
          <t>recibido</t>
        </is>
      </c>
      <c r="H15" s="19" t="inlineStr">
        <is>
          <t>Interrapidisimo</t>
        </is>
      </c>
      <c r="I15" s="19" t="inlineStr">
        <is>
          <t>240058851436</t>
        </is>
      </c>
      <c r="J15" s="20" t="n">
        <v>340000</v>
      </c>
      <c r="K15" s="21" t="n">
        <v>240000</v>
      </c>
    </row>
    <row r="16">
      <c r="A16" s="18" t="n">
        <v>12</v>
      </c>
      <c r="B16" s="19" t="inlineStr">
        <is>
          <t>aa98e3cb-30af-4e83-aaac-55bed9ab2414</t>
        </is>
      </c>
      <c r="C16" s="19" t="inlineStr">
        <is>
          <t>2026-08-26</t>
        </is>
      </c>
      <c r="D16" s="19" t="inlineStr">
        <is>
          <t>WILSON FAJARDO SAENZ</t>
        </is>
      </c>
      <c r="E16" s="19" t="inlineStr">
        <is>
          <t>3196568713</t>
        </is>
      </c>
      <c r="F16" s="19" t="inlineStr">
        <is>
          <t>Luisa Narvaez</t>
        </is>
      </c>
      <c r="G16" s="19" t="inlineStr">
        <is>
          <t>recibido</t>
        </is>
      </c>
      <c r="H16" s="19" t="inlineStr">
        <is>
          <t>Coordinadora</t>
        </is>
      </c>
      <c r="I16" s="19" t="inlineStr">
        <is>
          <t>36396464149</t>
        </is>
      </c>
      <c r="J16" s="20" t="n">
        <v>320000</v>
      </c>
      <c r="K16" s="21" t="n">
        <v>220000</v>
      </c>
    </row>
    <row r="17">
      <c r="A17" s="18" t="n">
        <v>13</v>
      </c>
      <c r="B17" s="19" t="inlineStr">
        <is>
          <t>ed08f3dc-4188-4ce1-bc35-b43371f35858</t>
        </is>
      </c>
      <c r="C17" s="19" t="inlineStr">
        <is>
          <t>2026-08-26</t>
        </is>
      </c>
      <c r="D17" s="19" t="inlineStr">
        <is>
          <t>OSCAR EDUARDO QUINTERO HOLGUIN</t>
        </is>
      </c>
      <c r="E17" s="19" t="inlineStr">
        <is>
          <t>3217721378</t>
        </is>
      </c>
      <c r="F17" s="19" t="inlineStr">
        <is>
          <t>Luisa Narvaez</t>
        </is>
      </c>
      <c r="G17" s="19" t="inlineStr">
        <is>
          <t>recibido</t>
        </is>
      </c>
      <c r="H17" s="19" t="inlineStr">
        <is>
          <t>Interrapidisimo</t>
        </is>
      </c>
      <c r="I17" s="19" t="inlineStr">
        <is>
          <t xml:space="preserve"> 240058981134</t>
        </is>
      </c>
      <c r="J17" s="20" t="n">
        <v>649000</v>
      </c>
      <c r="K17" s="21" t="n">
        <v>450000</v>
      </c>
    </row>
    <row r="18">
      <c r="A18" s="18" t="n">
        <v>14</v>
      </c>
      <c r="B18" s="19" t="inlineStr">
        <is>
          <t>4e6873b6-b61a-4208-8b3f-2bd9d7cf6719</t>
        </is>
      </c>
      <c r="C18" s="19" t="inlineStr">
        <is>
          <t>2026-08-26</t>
        </is>
      </c>
      <c r="D18" s="19" t="inlineStr">
        <is>
          <t>JOSE BENICIO FELIX RODRIGUEZ</t>
        </is>
      </c>
      <c r="E18" s="19" t="inlineStr">
        <is>
          <t>3112723568</t>
        </is>
      </c>
      <c r="F18" s="19" t="inlineStr">
        <is>
          <t>Laura Caycedo</t>
        </is>
      </c>
      <c r="G18" s="19" t="inlineStr">
        <is>
          <t>recibido</t>
        </is>
      </c>
      <c r="H18" s="19" t="inlineStr">
        <is>
          <t>Interrapidisimo</t>
        </is>
      </c>
      <c r="I18" s="19" t="inlineStr">
        <is>
          <t>240058939769</t>
        </is>
      </c>
      <c r="J18" s="20" t="n">
        <v>249000</v>
      </c>
      <c r="K18" s="21" t="n">
        <v>150000</v>
      </c>
    </row>
    <row r="19">
      <c r="A19" s="18" t="n">
        <v>15</v>
      </c>
      <c r="B19" s="19" t="inlineStr">
        <is>
          <t>e6f9dc27-02f0-4fab-82b0-c1eefd494172</t>
        </is>
      </c>
      <c r="C19" s="19" t="inlineStr">
        <is>
          <t>2026-08-26</t>
        </is>
      </c>
      <c r="D19" s="19" t="inlineStr">
        <is>
          <t>JHON GONZALEZ</t>
        </is>
      </c>
      <c r="E19" s="19" t="inlineStr">
        <is>
          <t>3108278604</t>
        </is>
      </c>
      <c r="F19" s="19" t="inlineStr">
        <is>
          <t>Laura Caycedo</t>
        </is>
      </c>
      <c r="G19" s="19" t="inlineStr">
        <is>
          <t>recibido</t>
        </is>
      </c>
      <c r="H19" s="19" t="inlineStr">
        <is>
          <t>Interrapidisimo</t>
        </is>
      </c>
      <c r="I19" s="19" t="inlineStr">
        <is>
          <t>240058912751</t>
        </is>
      </c>
      <c r="J19" s="20" t="n">
        <v>249000</v>
      </c>
      <c r="K19" s="21" t="n">
        <v>150000</v>
      </c>
    </row>
    <row r="20">
      <c r="A20" s="18" t="n">
        <v>16</v>
      </c>
      <c r="B20" s="19" t="inlineStr">
        <is>
          <t>6321a8fb-8524-4e3a-ba5d-0ba73c003bb7</t>
        </is>
      </c>
      <c r="C20" s="19" t="inlineStr">
        <is>
          <t>2026-08-27</t>
        </is>
      </c>
      <c r="D20" s="19" t="inlineStr">
        <is>
          <t>CARLOS ALBERTO CAMERO</t>
        </is>
      </c>
      <c r="E20" s="19" t="inlineStr">
        <is>
          <t>3214388545</t>
        </is>
      </c>
      <c r="F20" s="19" t="inlineStr">
        <is>
          <t>Luisa Narvaez</t>
        </is>
      </c>
      <c r="G20" s="19" t="inlineStr">
        <is>
          <t>recibido</t>
        </is>
      </c>
      <c r="H20" s="19" t="inlineStr">
        <is>
          <t>Envía</t>
        </is>
      </c>
      <c r="I20" s="19" t="inlineStr">
        <is>
          <t>954101515137</t>
        </is>
      </c>
      <c r="J20" s="20" t="n">
        <v>249000</v>
      </c>
      <c r="K20" s="21" t="n">
        <v>150000</v>
      </c>
    </row>
    <row r="21">
      <c r="A21" s="18" t="n">
        <v>17</v>
      </c>
      <c r="B21" s="19" t="inlineStr">
        <is>
          <t>44eca801-2ead-4ecb-8d16-cecc20913251</t>
        </is>
      </c>
      <c r="C21" s="19" t="inlineStr">
        <is>
          <t>2026-08-28</t>
        </is>
      </c>
      <c r="D21" s="19" t="inlineStr">
        <is>
          <t>RAUL TOVAR</t>
        </is>
      </c>
      <c r="E21" s="19" t="inlineStr">
        <is>
          <t>3215210711</t>
        </is>
      </c>
      <c r="F21" s="19" t="inlineStr">
        <is>
          <t>CIND FAJARDO</t>
        </is>
      </c>
      <c r="G21" s="19" t="inlineStr">
        <is>
          <t>recibido</t>
        </is>
      </c>
      <c r="H21" s="19" t="inlineStr">
        <is>
          <t>Envía</t>
        </is>
      </c>
      <c r="I21" s="19" t="inlineStr">
        <is>
          <t>954101515159</t>
        </is>
      </c>
      <c r="J21" s="20" t="n">
        <v>269000</v>
      </c>
      <c r="K21" s="21" t="n">
        <v>150000</v>
      </c>
    </row>
    <row r="22">
      <c r="A22" s="18" t="n">
        <v>18</v>
      </c>
      <c r="B22" s="19" t="inlineStr">
        <is>
          <t>b9277bbe-91e6-488b-bf44-1ce0dd78b0fd</t>
        </is>
      </c>
      <c r="C22" s="19" t="inlineStr">
        <is>
          <t>2026-08-19</t>
        </is>
      </c>
      <c r="D22" s="19" t="inlineStr">
        <is>
          <t>DONIDALDO POLO JIMENEZ</t>
        </is>
      </c>
      <c r="E22" s="19" t="inlineStr">
        <is>
          <t>3022699402</t>
        </is>
      </c>
      <c r="F22" s="19" t="inlineStr">
        <is>
          <t>CIND FAJARDO</t>
        </is>
      </c>
      <c r="G22" s="19" t="inlineStr">
        <is>
          <t>recibido</t>
        </is>
      </c>
      <c r="H22" s="19" t="inlineStr">
        <is>
          <t>Interrapidisimo</t>
        </is>
      </c>
      <c r="I22" s="19" t="inlineStr">
        <is>
          <t>240059377791</t>
        </is>
      </c>
      <c r="J22" s="20" t="n">
        <v>490000</v>
      </c>
      <c r="K22" s="21" t="n">
        <v>300000</v>
      </c>
    </row>
    <row r="23">
      <c r="A23" s="18" t="n">
        <v>19</v>
      </c>
      <c r="B23" s="19" t="inlineStr">
        <is>
          <t>0a1451fd-e234-4e7c-b366-521b794fd3f0</t>
        </is>
      </c>
      <c r="C23" s="19" t="inlineStr">
        <is>
          <t>2026-08-28</t>
        </is>
      </c>
      <c r="D23" s="19" t="inlineStr">
        <is>
          <t>BRAYAN ALEXANDER MENESES</t>
        </is>
      </c>
      <c r="E23" s="19" t="inlineStr">
        <is>
          <t>3126645320</t>
        </is>
      </c>
      <c r="F23" s="19" t="inlineStr">
        <is>
          <t>Luisa Narvaez</t>
        </is>
      </c>
      <c r="G23" s="19" t="inlineStr">
        <is>
          <t>recibido</t>
        </is>
      </c>
      <c r="H23" s="19" t="inlineStr">
        <is>
          <t>Interrapidisimo</t>
        </is>
      </c>
      <c r="I23" s="19" t="inlineStr">
        <is>
          <t>240059316634</t>
        </is>
      </c>
      <c r="J23" s="20" t="n">
        <v>340000</v>
      </c>
      <c r="K23" s="21" t="n">
        <v>240000</v>
      </c>
    </row>
    <row r="24">
      <c r="A24" s="18" t="n">
        <v>20</v>
      </c>
      <c r="B24" s="19" t="inlineStr">
        <is>
          <t>5e409b93-5d1f-4ae4-a271-c8528d7b7fab</t>
        </is>
      </c>
      <c r="C24" s="19" t="inlineStr">
        <is>
          <t>2026-08-19</t>
        </is>
      </c>
      <c r="D24" s="19" t="inlineStr">
        <is>
          <t>OMAR SANCHEZ MORENO</t>
        </is>
      </c>
      <c r="E24" s="19" t="inlineStr">
        <is>
          <t>3106085796</t>
        </is>
      </c>
      <c r="F24" s="19" t="inlineStr">
        <is>
          <t>CIND FAJARDO</t>
        </is>
      </c>
      <c r="G24" s="19" t="inlineStr">
        <is>
          <t>recibido</t>
        </is>
      </c>
      <c r="H24" s="19" t="inlineStr">
        <is>
          <t>Interrapidisimo</t>
        </is>
      </c>
      <c r="I24" s="19" t="inlineStr">
        <is>
          <t>240059379846</t>
        </is>
      </c>
      <c r="J24" s="20" t="n">
        <v>259000</v>
      </c>
      <c r="K24" s="21" t="n">
        <v>150000</v>
      </c>
    </row>
    <row r="25">
      <c r="A25" s="18" t="n">
        <v>21</v>
      </c>
      <c r="B25" s="19" t="inlineStr">
        <is>
          <t>f667f54f-dd40-4f0b-ae75-2cada1764fae</t>
        </is>
      </c>
      <c r="C25" s="19" t="inlineStr">
        <is>
          <t>2026-08-28</t>
        </is>
      </c>
      <c r="D25" s="19" t="inlineStr">
        <is>
          <t>CARLOS MANUEL ROJANO YEPES</t>
        </is>
      </c>
      <c r="E25" s="19" t="inlineStr">
        <is>
          <t>3224922420</t>
        </is>
      </c>
      <c r="F25" s="19" t="inlineStr">
        <is>
          <t>CIND FAJARDO</t>
        </is>
      </c>
      <c r="G25" s="19" t="inlineStr">
        <is>
          <t>recibido</t>
        </is>
      </c>
      <c r="H25" s="19" t="inlineStr">
        <is>
          <t>Interrapidisimo</t>
        </is>
      </c>
      <c r="I25" s="19" t="inlineStr">
        <is>
          <t>240059286503</t>
        </is>
      </c>
      <c r="J25" s="20" t="n">
        <v>249000</v>
      </c>
      <c r="K25" s="21" t="n">
        <v>150000</v>
      </c>
    </row>
    <row r="26">
      <c r="A26" s="18" t="n">
        <v>22</v>
      </c>
      <c r="B26" s="19" t="inlineStr">
        <is>
          <t>ada3c3db-586c-43e2-9df6-b44e8f350482</t>
        </is>
      </c>
      <c r="C26" s="19" t="inlineStr">
        <is>
          <t>2026-08-28</t>
        </is>
      </c>
      <c r="D26" s="19" t="inlineStr">
        <is>
          <t>JHON ALEX FLOR URBANO</t>
        </is>
      </c>
      <c r="E26" s="19" t="inlineStr">
        <is>
          <t>3103774909</t>
        </is>
      </c>
      <c r="F26" s="19" t="inlineStr">
        <is>
          <t>CIND FAJARDO</t>
        </is>
      </c>
      <c r="G26" s="19" t="inlineStr">
        <is>
          <t>recibido</t>
        </is>
      </c>
      <c r="H26" s="19" t="inlineStr">
        <is>
          <t>Interrapidisimo</t>
        </is>
      </c>
      <c r="I26" s="19" t="inlineStr">
        <is>
          <t>954101515932</t>
        </is>
      </c>
      <c r="J26" s="20" t="n">
        <v>359000</v>
      </c>
      <c r="K26" s="21" t="n">
        <v>230000</v>
      </c>
    </row>
    <row r="27">
      <c r="A27" s="18" t="n">
        <v>23</v>
      </c>
      <c r="B27" s="19" t="inlineStr">
        <is>
          <t>ed6447c3-8989-4eab-b1bf-725da9bf3955</t>
        </is>
      </c>
      <c r="C27" s="19" t="inlineStr">
        <is>
          <t>2026-08-28</t>
        </is>
      </c>
      <c r="D27" s="19" t="inlineStr">
        <is>
          <t>OSWALDO ANTONIO BARON PAEZ</t>
        </is>
      </c>
      <c r="E27" s="19" t="inlineStr">
        <is>
          <t>3116133099</t>
        </is>
      </c>
      <c r="F27" s="19" t="inlineStr">
        <is>
          <t>Luisa Narvaez</t>
        </is>
      </c>
      <c r="G27" s="19" t="inlineStr">
        <is>
          <t>recibido</t>
        </is>
      </c>
      <c r="H27" s="19" t="inlineStr">
        <is>
          <t>Envía</t>
        </is>
      </c>
      <c r="I27" s="19" t="inlineStr">
        <is>
          <t>954101516656</t>
        </is>
      </c>
      <c r="J27" s="20" t="n">
        <v>249000</v>
      </c>
      <c r="K27" s="21" t="n">
        <v>150000</v>
      </c>
    </row>
    <row r="28">
      <c r="A28" s="18" t="n">
        <v>24</v>
      </c>
      <c r="B28" s="19" t="inlineStr">
        <is>
          <t>b24f492a-d1f2-453b-9a8a-46e5f3980c7b</t>
        </is>
      </c>
      <c r="C28" s="19" t="inlineStr">
        <is>
          <t>2026-08-29</t>
        </is>
      </c>
      <c r="D28" s="19" t="inlineStr">
        <is>
          <t>OMAR ENRIQUE QUINTERO MARQUEZ</t>
        </is>
      </c>
      <c r="E28" s="19" t="inlineStr">
        <is>
          <t>3043685803</t>
        </is>
      </c>
      <c r="F28" s="19" t="inlineStr">
        <is>
          <t>CIND FAJARDO</t>
        </is>
      </c>
      <c r="G28" s="19" t="inlineStr">
        <is>
          <t>recibido</t>
        </is>
      </c>
      <c r="H28" s="19" t="inlineStr">
        <is>
          <t>Envía</t>
        </is>
      </c>
      <c r="I28" s="19" t="inlineStr">
        <is>
          <t>954101517781</t>
        </is>
      </c>
      <c r="J28" s="20" t="n">
        <v>249000</v>
      </c>
      <c r="K28" s="21" t="n">
        <v>150000</v>
      </c>
    </row>
    <row r="29">
      <c r="A29" s="18" t="n">
        <v>25</v>
      </c>
      <c r="B29" s="19" t="inlineStr">
        <is>
          <t>484dd53e-973c-4e85-a977-63de18d3ee09</t>
        </is>
      </c>
      <c r="C29" s="19" t="inlineStr">
        <is>
          <t>2026-08-29</t>
        </is>
      </c>
      <c r="D29" s="19" t="inlineStr">
        <is>
          <t>SEBASTIAN CAMBINDO</t>
        </is>
      </c>
      <c r="E29" s="19" t="inlineStr">
        <is>
          <t>3236327150</t>
        </is>
      </c>
      <c r="F29" s="19" t="inlineStr">
        <is>
          <t>Luisa Narvaez</t>
        </is>
      </c>
      <c r="G29" s="19" t="inlineStr">
        <is>
          <t>recibido</t>
        </is>
      </c>
      <c r="H29" s="19" t="inlineStr">
        <is>
          <t>Envía</t>
        </is>
      </c>
      <c r="I29" s="19" t="inlineStr">
        <is>
          <t>954101517981</t>
        </is>
      </c>
      <c r="J29" s="20" t="n">
        <v>249000</v>
      </c>
      <c r="K29" s="21" t="n">
        <v>150000</v>
      </c>
    </row>
    <row r="30">
      <c r="A30" s="18" t="n">
        <v>26</v>
      </c>
      <c r="B30" s="19" t="inlineStr">
        <is>
          <t>9a07f7e7-a438-4aa3-806c-cc6222779e63</t>
        </is>
      </c>
      <c r="C30" s="19" t="inlineStr">
        <is>
          <t>2026-08-29</t>
        </is>
      </c>
      <c r="D30" s="19" t="inlineStr">
        <is>
          <t>GUSTAVO CRUZ</t>
        </is>
      </c>
      <c r="E30" s="19" t="inlineStr">
        <is>
          <t>3027004144</t>
        </is>
      </c>
      <c r="F30" s="19" t="inlineStr">
        <is>
          <t>CIND FAJARDO</t>
        </is>
      </c>
      <c r="G30" s="19" t="inlineStr">
        <is>
          <t>recibido</t>
        </is>
      </c>
      <c r="H30" s="19" t="inlineStr">
        <is>
          <t>Interrapidisimo</t>
        </is>
      </c>
      <c r="I30" s="19" t="inlineStr">
        <is>
          <t xml:space="preserve"> 240059706197</t>
        </is>
      </c>
      <c r="J30" s="20" t="n">
        <v>249000</v>
      </c>
      <c r="K30" s="21" t="n">
        <v>150000</v>
      </c>
    </row>
    <row r="31">
      <c r="A31" s="18" t="n">
        <v>27</v>
      </c>
      <c r="B31" s="19" t="inlineStr">
        <is>
          <t>e845a5e8-330d-4d8c-8f7c-05b05e9185df</t>
        </is>
      </c>
      <c r="C31" s="19" t="inlineStr">
        <is>
          <t>2026-08-29</t>
        </is>
      </c>
      <c r="D31" s="19" t="inlineStr">
        <is>
          <t>JOSE HUMBERTO DIAZ</t>
        </is>
      </c>
      <c r="E31" s="19" t="inlineStr">
        <is>
          <t>3223951974</t>
        </is>
      </c>
      <c r="F31" s="19" t="inlineStr">
        <is>
          <t>CIND FAJARDO</t>
        </is>
      </c>
      <c r="G31" s="19" t="inlineStr">
        <is>
          <t>recibido</t>
        </is>
      </c>
      <c r="H31" s="19" t="inlineStr">
        <is>
          <t>Coordinadora</t>
        </is>
      </c>
      <c r="I31" s="19" t="inlineStr">
        <is>
          <t>36396576348</t>
        </is>
      </c>
      <c r="J31" s="20" t="n">
        <v>259000</v>
      </c>
      <c r="K31" s="21" t="n">
        <v>180000</v>
      </c>
    </row>
    <row r="32">
      <c r="A32" s="18" t="n">
        <v>28</v>
      </c>
      <c r="B32" s="19" t="inlineStr">
        <is>
          <t>0b4e5407-938e-4546-8362-8e5c90518c02</t>
        </is>
      </c>
      <c r="C32" s="19" t="inlineStr">
        <is>
          <t>2026-08-29</t>
        </is>
      </c>
      <c r="D32" s="19" t="inlineStr">
        <is>
          <t>DUVER CHILITO</t>
        </is>
      </c>
      <c r="E32" s="19" t="inlineStr">
        <is>
          <t>3115638261</t>
        </is>
      </c>
      <c r="F32" s="19" t="inlineStr">
        <is>
          <t>CIND FAJARDO</t>
        </is>
      </c>
      <c r="G32" s="19" t="inlineStr">
        <is>
          <t>recibido</t>
        </is>
      </c>
      <c r="H32" s="19" t="inlineStr">
        <is>
          <t>Interrapidisimo</t>
        </is>
      </c>
      <c r="I32" s="19" t="inlineStr">
        <is>
          <t>240059718935</t>
        </is>
      </c>
      <c r="J32" s="20" t="n">
        <v>259000</v>
      </c>
      <c r="K32" s="21" t="n">
        <v>180000</v>
      </c>
    </row>
    <row r="33">
      <c r="A33" s="18" t="n">
        <v>29</v>
      </c>
      <c r="B33" s="19" t="inlineStr">
        <is>
          <t>febeffdd-ca7d-4a68-924d-7e8c3f7e5094</t>
        </is>
      </c>
      <c r="C33" s="19" t="inlineStr">
        <is>
          <t>2026-08-29</t>
        </is>
      </c>
      <c r="D33" s="19" t="inlineStr">
        <is>
          <t>CESAR VARGAS</t>
        </is>
      </c>
      <c r="E33" s="19" t="inlineStr">
        <is>
          <t>3332784001</t>
        </is>
      </c>
      <c r="F33" s="19" t="inlineStr">
        <is>
          <t>CIND FAJARDO</t>
        </is>
      </c>
      <c r="G33" s="19" t="inlineStr">
        <is>
          <t>recibido</t>
        </is>
      </c>
      <c r="H33" s="19" t="inlineStr">
        <is>
          <t>Interrapidisimo</t>
        </is>
      </c>
      <c r="I33" s="19" t="inlineStr">
        <is>
          <t>240059717064</t>
        </is>
      </c>
      <c r="J33" s="20" t="n">
        <v>249000</v>
      </c>
      <c r="K33" s="21" t="n">
        <v>150000</v>
      </c>
    </row>
    <row r="34">
      <c r="A34" s="18" t="n">
        <v>30</v>
      </c>
      <c r="B34" s="19" t="inlineStr">
        <is>
          <t>f1d91d55-17d5-46d8-9d53-d8844370a4a4</t>
        </is>
      </c>
      <c r="C34" s="19" t="inlineStr">
        <is>
          <t>2026-08-31</t>
        </is>
      </c>
      <c r="D34" s="19" t="inlineStr">
        <is>
          <t>CESAR MERA CAMACHO</t>
        </is>
      </c>
      <c r="E34" s="19" t="inlineStr">
        <is>
          <t>3225567214</t>
        </is>
      </c>
      <c r="F34" s="19" t="inlineStr">
        <is>
          <t>CIND FAJARDO</t>
        </is>
      </c>
      <c r="G34" s="19" t="inlineStr">
        <is>
          <t>recibido</t>
        </is>
      </c>
      <c r="H34" s="19" t="inlineStr">
        <is>
          <t>Envía</t>
        </is>
      </c>
      <c r="I34" s="19" t="inlineStr">
        <is>
          <t xml:space="preserve"> 954101520533</t>
        </is>
      </c>
      <c r="J34" s="20" t="n">
        <v>249000</v>
      </c>
      <c r="K34" s="21" t="n">
        <v>150000</v>
      </c>
    </row>
    <row r="35">
      <c r="A35" s="18" t="n">
        <v>31</v>
      </c>
      <c r="B35" s="19" t="inlineStr">
        <is>
          <t>e9cd8a46-065e-4812-bda0-8e1d04692798</t>
        </is>
      </c>
      <c r="C35" s="19" t="inlineStr">
        <is>
          <t>2026-08-31</t>
        </is>
      </c>
      <c r="D35" s="19" t="inlineStr">
        <is>
          <t>EVELIN CASTILLO</t>
        </is>
      </c>
      <c r="E35" s="19" t="inlineStr">
        <is>
          <t>3136174495</t>
        </is>
      </c>
      <c r="F35" s="19" t="inlineStr">
        <is>
          <t>CIND FAJARDO</t>
        </is>
      </c>
      <c r="G35" s="19" t="inlineStr">
        <is>
          <t>recibido</t>
        </is>
      </c>
      <c r="H35" s="19" t="inlineStr">
        <is>
          <t>Envía</t>
        </is>
      </c>
      <c r="I35" s="19" t="inlineStr">
        <is>
          <t>954101520483</t>
        </is>
      </c>
      <c r="J35" s="20" t="n">
        <v>249000</v>
      </c>
      <c r="K35" s="21" t="n">
        <v>150000</v>
      </c>
    </row>
    <row r="36">
      <c r="A36" s="18" t="n">
        <v>32</v>
      </c>
      <c r="B36" s="19" t="inlineStr">
        <is>
          <t>88401c15-e829-4d8f-8dfb-19a8a890566a</t>
        </is>
      </c>
      <c r="C36" s="19" t="inlineStr">
        <is>
          <t>2026-08-29</t>
        </is>
      </c>
      <c r="D36" s="19" t="inlineStr">
        <is>
          <t>JUAN CARLO OLIVEROS</t>
        </is>
      </c>
      <c r="E36" s="19" t="inlineStr">
        <is>
          <t>3223843859</t>
        </is>
      </c>
      <c r="F36" s="19" t="inlineStr">
        <is>
          <t>Luisa Narvaez</t>
        </is>
      </c>
      <c r="G36" s="19" t="inlineStr">
        <is>
          <t>recibido</t>
        </is>
      </c>
      <c r="H36" s="19" t="inlineStr">
        <is>
          <t>Envía</t>
        </is>
      </c>
      <c r="I36" s="19" t="inlineStr">
        <is>
          <t>954101518612</t>
        </is>
      </c>
      <c r="J36" s="20" t="n">
        <v>249000</v>
      </c>
      <c r="K36" s="21" t="n">
        <v>150000</v>
      </c>
    </row>
    <row r="37">
      <c r="A37" s="18" t="n">
        <v>33</v>
      </c>
      <c r="B37" s="19" t="inlineStr">
        <is>
          <t>efd9e70f-493d-4757-acdd-3b96b1b1d6c7</t>
        </is>
      </c>
      <c r="C37" s="19" t="inlineStr">
        <is>
          <t>2026-08-24</t>
        </is>
      </c>
      <c r="D37" s="19" t="inlineStr">
        <is>
          <t>BREINER DAVID ARENAS AMADO</t>
        </is>
      </c>
      <c r="E37" s="19" t="inlineStr">
        <is>
          <t>3204581655</t>
        </is>
      </c>
      <c r="F37" s="19" t="inlineStr">
        <is>
          <t>CIND FAJARDO</t>
        </is>
      </c>
      <c r="G37" s="19" t="inlineStr">
        <is>
          <t>recibido</t>
        </is>
      </c>
      <c r="H37" s="19" t="inlineStr">
        <is>
          <t>Interrapidisimo</t>
        </is>
      </c>
      <c r="I37" s="19" t="inlineStr">
        <is>
          <t>240059720866</t>
        </is>
      </c>
      <c r="J37" s="20" t="n">
        <v>259000</v>
      </c>
      <c r="K37" s="21" t="n">
        <v>180000</v>
      </c>
    </row>
    <row r="38">
      <c r="A38" s="18" t="n">
        <v>34</v>
      </c>
      <c r="B38" s="19" t="inlineStr">
        <is>
          <t>eb13a85e-0747-44f7-8603-43ebe5a432ab</t>
        </is>
      </c>
      <c r="C38" s="19" t="inlineStr">
        <is>
          <t>2026-08-13</t>
        </is>
      </c>
      <c r="D38" s="19" t="inlineStr">
        <is>
          <t>JUAN IGNACIO MARTINEZ</t>
        </is>
      </c>
      <c r="E38" s="19" t="inlineStr">
        <is>
          <t>3182016873</t>
        </is>
      </c>
      <c r="F38" s="19" t="inlineStr">
        <is>
          <t>Luisa Narvaez</t>
        </is>
      </c>
      <c r="G38" s="19" t="inlineStr">
        <is>
          <t>recibido</t>
        </is>
      </c>
      <c r="H38" s="19" t="inlineStr">
        <is>
          <t>Interrapidisimo</t>
        </is>
      </c>
      <c r="I38" s="19" t="inlineStr">
        <is>
          <t>240059018850</t>
        </is>
      </c>
      <c r="J38" s="20" t="n">
        <v>649000</v>
      </c>
      <c r="K38" s="21" t="n">
        <v>450000</v>
      </c>
    </row>
    <row r="39">
      <c r="A39" s="18" t="n">
        <v>35</v>
      </c>
      <c r="B39" s="19" t="inlineStr">
        <is>
          <t>8e8fba8b-b70f-45f8-97b8-32e896f23f48</t>
        </is>
      </c>
      <c r="C39" s="19" t="inlineStr">
        <is>
          <t>2026-08-14</t>
        </is>
      </c>
      <c r="D39" s="19" t="inlineStr">
        <is>
          <t>Información solo visible para el Dropshipper</t>
        </is>
      </c>
      <c r="E39" s="19" t="inlineStr">
        <is>
          <t>123</t>
        </is>
      </c>
      <c r="F39" s="19" t="inlineStr">
        <is>
          <t>Dropshipper</t>
        </is>
      </c>
      <c r="G39" s="19" t="inlineStr">
        <is>
          <t>recibido</t>
        </is>
      </c>
      <c r="H39" s="19" t="inlineStr">
        <is>
          <t>Interrapidisimo</t>
        </is>
      </c>
      <c r="I39" s="19" t="inlineStr">
        <is>
          <t>240059083057</t>
        </is>
      </c>
      <c r="J39" s="20" t="n">
        <v>900000</v>
      </c>
      <c r="K39" s="21" t="n">
        <v>900000</v>
      </c>
    </row>
    <row r="40">
      <c r="A40" s="13" t="inlineStr">
        <is>
          <t>TOTAL</t>
        </is>
      </c>
      <c r="B40" s="22" t="n"/>
      <c r="C40" s="22" t="n"/>
      <c r="D40" s="22" t="n"/>
      <c r="E40" s="22" t="n"/>
      <c r="F40" s="22" t="n"/>
      <c r="G40" s="22" t="n"/>
      <c r="H40" s="22" t="n"/>
      <c r="I40" s="22" t="n"/>
      <c r="J40" s="14">
        <f>SUM(J5:J39)</f>
        <v/>
      </c>
      <c r="K40" s="15">
        <f>SUM(K5:K39)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1" customWidth="1" min="4" max="4"/>
    <col width="14" customWidth="1" min="5" max="5"/>
    <col width="27" customWidth="1" min="6" max="6"/>
    <col width="16" customWidth="1" min="7" max="7"/>
    <col width="19" customWidth="1" min="8" max="8"/>
    <col width="17" customWidth="1" min="9" max="9"/>
    <col width="19" customWidth="1" min="10" max="10"/>
    <col width="32" customWidth="1" min="11" max="11"/>
  </cols>
  <sheetData>
    <row r="1">
      <c r="A1" s="1" t="inlineStr">
        <is>
          <t>ERP AC - Detalle de Órdenes Millenio: 10 En Despacho (Retenidos)</t>
        </is>
      </c>
    </row>
    <row r="2">
      <c r="A2" s="2" t="inlineStr">
        <is>
          <t>Total Registros: 10</t>
        </is>
      </c>
    </row>
    <row r="3"/>
    <row r="4">
      <c r="A4" s="3" t="inlineStr">
        <is>
          <t>N°</t>
        </is>
      </c>
      <c r="B4" s="3" t="inlineStr">
        <is>
          <t>ID Orden</t>
        </is>
      </c>
      <c r="C4" s="3" t="inlineStr">
        <is>
          <t>Fecha</t>
        </is>
      </c>
      <c r="D4" s="3" t="inlineStr">
        <is>
          <t>Cliente</t>
        </is>
      </c>
      <c r="E4" s="3" t="inlineStr">
        <is>
          <t>Teléfono</t>
        </is>
      </c>
      <c r="F4" s="3" t="inlineStr">
        <is>
          <t>Vendedor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COSTO A PAGAR A MILLENIO ($)</t>
        </is>
      </c>
    </row>
    <row r="5">
      <c r="A5" s="18" t="n">
        <v>1</v>
      </c>
      <c r="B5" s="19" t="inlineStr">
        <is>
          <t>TC-92863391</t>
        </is>
      </c>
      <c r="C5" s="19" t="inlineStr">
        <is>
          <t>2026-06-12</t>
        </is>
      </c>
      <c r="D5" s="19" t="inlineStr">
        <is>
          <t>juan perez</t>
        </is>
      </c>
      <c r="E5" s="19" t="inlineStr">
        <is>
          <t>3185159017</t>
        </is>
      </c>
      <c r="F5" s="19" t="inlineStr">
        <is>
          <t>test vendedor tucompras</t>
        </is>
      </c>
      <c r="G5" s="19" t="inlineStr">
        <is>
          <t>despachado</t>
        </is>
      </c>
      <c r="H5" s="19" t="inlineStr">
        <is>
          <t xml:space="preserve">transarmenia </t>
        </is>
      </c>
      <c r="I5" s="19" t="inlineStr"/>
      <c r="J5" s="20" t="n">
        <v>158000</v>
      </c>
      <c r="K5" s="23" t="n">
        <v>70000</v>
      </c>
    </row>
    <row r="6">
      <c r="A6" s="18" t="n">
        <v>2</v>
      </c>
      <c r="B6" s="19" t="inlineStr">
        <is>
          <t>1a353fc1-107a-4828-a9b7-3a19e76759fa</t>
        </is>
      </c>
      <c r="C6" s="19" t="inlineStr">
        <is>
          <t>2026-08-29</t>
        </is>
      </c>
      <c r="D6" s="19" t="inlineStr">
        <is>
          <t>WILLIAM VALDES</t>
        </is>
      </c>
      <c r="E6" s="19" t="inlineStr">
        <is>
          <t>3173731108</t>
        </is>
      </c>
      <c r="F6" s="19" t="inlineStr">
        <is>
          <t>Luisa Narvaez</t>
        </is>
      </c>
      <c r="G6" s="19" t="inlineStr">
        <is>
          <t>despachado</t>
        </is>
      </c>
      <c r="H6" s="19" t="inlineStr">
        <is>
          <t>Interrapidisimo</t>
        </is>
      </c>
      <c r="I6" s="19" t="inlineStr">
        <is>
          <t>240059696625</t>
        </is>
      </c>
      <c r="J6" s="20" t="n">
        <v>249000</v>
      </c>
      <c r="K6" s="23" t="n">
        <v>150000</v>
      </c>
    </row>
    <row r="7">
      <c r="A7" s="18" t="n">
        <v>3</v>
      </c>
      <c r="B7" s="19" t="inlineStr">
        <is>
          <t>5a18df22-e5c2-4491-92e3-de1d4caaef2f</t>
        </is>
      </c>
      <c r="C7" s="19" t="inlineStr">
        <is>
          <t>2026-08-29</t>
        </is>
      </c>
      <c r="D7" s="19" t="inlineStr">
        <is>
          <t>LUIS CARLOS SALA PAJARO</t>
        </is>
      </c>
      <c r="E7" s="19" t="inlineStr">
        <is>
          <t>3104263920</t>
        </is>
      </c>
      <c r="F7" s="19" t="inlineStr">
        <is>
          <t>CIND FAJARDO</t>
        </is>
      </c>
      <c r="G7" s="19" t="inlineStr">
        <is>
          <t>despachado</t>
        </is>
      </c>
      <c r="H7" s="19" t="inlineStr">
        <is>
          <t>Interrapidisimo</t>
        </is>
      </c>
      <c r="I7" s="19" t="inlineStr">
        <is>
          <t>240059806597</t>
        </is>
      </c>
      <c r="J7" s="20" t="n">
        <v>359000</v>
      </c>
      <c r="K7" s="23" t="n">
        <v>230000</v>
      </c>
    </row>
    <row r="8">
      <c r="A8" s="18" t="n">
        <v>4</v>
      </c>
      <c r="B8" s="19" t="inlineStr">
        <is>
          <t>8808189e-2925-42d6-9531-9dbd28cf417b</t>
        </is>
      </c>
      <c r="C8" s="19" t="inlineStr">
        <is>
          <t>2026-08-29</t>
        </is>
      </c>
      <c r="D8" s="19" t="inlineStr">
        <is>
          <t>EDUAR BATALLA</t>
        </is>
      </c>
      <c r="E8" s="19" t="inlineStr">
        <is>
          <t>3235612132</t>
        </is>
      </c>
      <c r="F8" s="19" t="inlineStr">
        <is>
          <t>CIND FAJARDO</t>
        </is>
      </c>
      <c r="G8" s="19" t="inlineStr">
        <is>
          <t>despachado</t>
        </is>
      </c>
      <c r="H8" s="19" t="inlineStr">
        <is>
          <t>Interrapidisimo</t>
        </is>
      </c>
      <c r="I8" s="19" t="inlineStr">
        <is>
          <t>240059846334</t>
        </is>
      </c>
      <c r="J8" s="20" t="n">
        <v>249000</v>
      </c>
      <c r="K8" s="23" t="n">
        <v>150000</v>
      </c>
    </row>
    <row r="9">
      <c r="A9" s="18" t="n">
        <v>5</v>
      </c>
      <c r="B9" s="19" t="inlineStr">
        <is>
          <t>096e4d79-b381-4df1-b8b5-1a1d424e8da6</t>
        </is>
      </c>
      <c r="C9" s="19" t="inlineStr">
        <is>
          <t>2026-08-31</t>
        </is>
      </c>
      <c r="D9" s="19" t="inlineStr">
        <is>
          <t>WILLIAM RAMOS</t>
        </is>
      </c>
      <c r="E9" s="19" t="inlineStr">
        <is>
          <t>3158091003</t>
        </is>
      </c>
      <c r="F9" s="19" t="inlineStr">
        <is>
          <t>Luisa Narvaez</t>
        </is>
      </c>
      <c r="G9" s="19" t="inlineStr">
        <is>
          <t>despachado</t>
        </is>
      </c>
      <c r="H9" s="19" t="inlineStr">
        <is>
          <t>Interrapidisimo</t>
        </is>
      </c>
      <c r="I9" s="19" t="inlineStr">
        <is>
          <t>240059925101</t>
        </is>
      </c>
      <c r="J9" s="20" t="n">
        <v>249000</v>
      </c>
      <c r="K9" s="23" t="n">
        <v>150000</v>
      </c>
    </row>
    <row r="10">
      <c r="A10" s="18" t="n">
        <v>6</v>
      </c>
      <c r="B10" s="19" t="inlineStr">
        <is>
          <t>f809eaf7-76a3-443d-b7e6-f9e5c6d3df47</t>
        </is>
      </c>
      <c r="C10" s="19" t="inlineStr">
        <is>
          <t>2026-09-01</t>
        </is>
      </c>
      <c r="D10" s="19" t="inlineStr">
        <is>
          <t>SIXTO PEREZ ARAQUE</t>
        </is>
      </c>
      <c r="E10" s="19" t="inlineStr">
        <is>
          <t>3103098374</t>
        </is>
      </c>
      <c r="F10" s="19" t="inlineStr">
        <is>
          <t>CIND FAJARDO</t>
        </is>
      </c>
      <c r="G10" s="19" t="inlineStr">
        <is>
          <t>despachado</t>
        </is>
      </c>
      <c r="H10" s="19" t="inlineStr">
        <is>
          <t>Envía</t>
        </is>
      </c>
      <c r="I10" s="19" t="inlineStr">
        <is>
          <t>954101522213</t>
        </is>
      </c>
      <c r="J10" s="20" t="n">
        <v>249000</v>
      </c>
      <c r="K10" s="23" t="n">
        <v>150000</v>
      </c>
    </row>
    <row r="11">
      <c r="A11" s="18" t="n">
        <v>7</v>
      </c>
      <c r="B11" s="19" t="inlineStr">
        <is>
          <t>5ea652d2-ebe9-4dbe-a669-3383875acf45</t>
        </is>
      </c>
      <c r="C11" s="19" t="inlineStr">
        <is>
          <t>2026-09-01</t>
        </is>
      </c>
      <c r="D11" s="19" t="inlineStr">
        <is>
          <t>CARLOS ALBERTO MEJIA ZAPATA</t>
        </is>
      </c>
      <c r="E11" s="19" t="inlineStr">
        <is>
          <t>3146787673</t>
        </is>
      </c>
      <c r="F11" s="19" t="inlineStr">
        <is>
          <t>CIND FAJARDO</t>
        </is>
      </c>
      <c r="G11" s="19" t="inlineStr">
        <is>
          <t>despachado</t>
        </is>
      </c>
      <c r="H11" s="19" t="inlineStr">
        <is>
          <t>Interrapidisimo</t>
        </is>
      </c>
      <c r="I11" s="19" t="inlineStr">
        <is>
          <t xml:space="preserve"> 240060112075</t>
        </is>
      </c>
      <c r="J11" s="20" t="n">
        <v>249000</v>
      </c>
      <c r="K11" s="23" t="n">
        <v>150000</v>
      </c>
    </row>
    <row r="12">
      <c r="A12" s="18" t="n">
        <v>8</v>
      </c>
      <c r="B12" s="19" t="inlineStr">
        <is>
          <t>36488d54-7520-46bd-a80e-cd733b06c2f6</t>
        </is>
      </c>
      <c r="C12" s="19" t="inlineStr">
        <is>
          <t>2026-08-31</t>
        </is>
      </c>
      <c r="D12" s="19" t="inlineStr">
        <is>
          <t>LUIS ARCADIO HOYOS SANCHEZ</t>
        </is>
      </c>
      <c r="E12" s="19" t="inlineStr">
        <is>
          <t>3127470514</t>
        </is>
      </c>
      <c r="F12" s="19" t="inlineStr">
        <is>
          <t>CIND FAJARDO</t>
        </is>
      </c>
      <c r="G12" s="19" t="inlineStr">
        <is>
          <t>despachado</t>
        </is>
      </c>
      <c r="H12" s="19" t="inlineStr">
        <is>
          <t>Interrapidisimo</t>
        </is>
      </c>
      <c r="I12" s="19" t="inlineStr">
        <is>
          <t>240060199044</t>
        </is>
      </c>
      <c r="J12" s="20" t="n">
        <v>450000</v>
      </c>
      <c r="K12" s="23" t="n">
        <v>450000</v>
      </c>
    </row>
    <row r="13">
      <c r="A13" s="18" t="n">
        <v>9</v>
      </c>
      <c r="B13" s="19" t="inlineStr">
        <is>
          <t>0b79202d-699e-461f-a25e-b8947df1d469</t>
        </is>
      </c>
      <c r="C13" s="19" t="inlineStr">
        <is>
          <t>2026-08-31</t>
        </is>
      </c>
      <c r="D13" s="19" t="inlineStr">
        <is>
          <t>ROBERT MORELOS</t>
        </is>
      </c>
      <c r="E13" s="19" t="inlineStr">
        <is>
          <t>3052351303</t>
        </is>
      </c>
      <c r="F13" s="19" t="inlineStr">
        <is>
          <t>CIND FAJARDO</t>
        </is>
      </c>
      <c r="G13" s="19" t="inlineStr">
        <is>
          <t>despachado</t>
        </is>
      </c>
      <c r="H13" s="19" t="inlineStr">
        <is>
          <t>Envía</t>
        </is>
      </c>
      <c r="I13" s="19" t="inlineStr">
        <is>
          <t>954101523291</t>
        </is>
      </c>
      <c r="J13" s="20" t="n">
        <v>269000</v>
      </c>
      <c r="K13" s="23" t="n">
        <v>180000</v>
      </c>
    </row>
    <row r="14">
      <c r="A14" s="18" t="n">
        <v>10</v>
      </c>
      <c r="B14" s="19" t="inlineStr">
        <is>
          <t>03eba727-6ae7-405f-a1ea-1e533bf812d0</t>
        </is>
      </c>
      <c r="C14" s="19" t="inlineStr">
        <is>
          <t>2026-09-03</t>
        </is>
      </c>
      <c r="D14" s="19" t="inlineStr">
        <is>
          <t>ALONSO ZAPATA</t>
        </is>
      </c>
      <c r="E14" s="19" t="inlineStr">
        <is>
          <t>9727295</t>
        </is>
      </c>
      <c r="F14" s="19" t="inlineStr">
        <is>
          <t>CIND FAJARDO</t>
        </is>
      </c>
      <c r="G14" s="19" t="inlineStr">
        <is>
          <t>despachado</t>
        </is>
      </c>
      <c r="H14" s="19" t="inlineStr">
        <is>
          <t>Interrapidisimo</t>
        </is>
      </c>
      <c r="I14" s="19" t="inlineStr">
        <is>
          <t>9727295</t>
        </is>
      </c>
      <c r="J14" s="20" t="n">
        <v>649000</v>
      </c>
      <c r="K14" s="23" t="n">
        <v>450000</v>
      </c>
    </row>
    <row r="15">
      <c r="A15" s="13" t="inlineStr">
        <is>
          <t>TOTAL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14">
        <f>SUM(J5:J14)</f>
        <v/>
      </c>
      <c r="K15" s="14">
        <f>SUM(K5:K14)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7" customWidth="1" min="4" max="4"/>
    <col width="14" customWidth="1" min="5" max="5"/>
    <col width="17" customWidth="1" min="6" max="6"/>
    <col width="23" customWidth="1" min="7" max="7"/>
    <col width="18" customWidth="1" min="8" max="8"/>
    <col width="16" customWidth="1" min="9" max="9"/>
    <col width="19" customWidth="1" min="10" max="10"/>
    <col width="32" customWidth="1" min="11" max="11"/>
  </cols>
  <sheetData>
    <row r="1">
      <c r="A1" s="1" t="inlineStr">
        <is>
          <t>ERP AC - Detalle de Órdenes Millenio: 1 Devolución (Anulado $0)</t>
        </is>
      </c>
    </row>
    <row r="2">
      <c r="A2" s="2" t="inlineStr">
        <is>
          <t>Total Registros: 1</t>
        </is>
      </c>
    </row>
    <row r="3"/>
    <row r="4">
      <c r="A4" s="3" t="inlineStr">
        <is>
          <t>N°</t>
        </is>
      </c>
      <c r="B4" s="3" t="inlineStr">
        <is>
          <t>ID Orden</t>
        </is>
      </c>
      <c r="C4" s="3" t="inlineStr">
        <is>
          <t>Fecha</t>
        </is>
      </c>
      <c r="D4" s="3" t="inlineStr">
        <is>
          <t>Cliente</t>
        </is>
      </c>
      <c r="E4" s="3" t="inlineStr">
        <is>
          <t>Teléfono</t>
        </is>
      </c>
      <c r="F4" s="3" t="inlineStr">
        <is>
          <t>Vendedor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COSTO A PAGAR A MILLENIO ($)</t>
        </is>
      </c>
    </row>
    <row r="5">
      <c r="A5" s="18" t="n">
        <v>1</v>
      </c>
      <c r="B5" s="19" t="inlineStr">
        <is>
          <t>10eea031-7fe9-46da-a623-c756d466a40d</t>
        </is>
      </c>
      <c r="C5" s="19" t="inlineStr">
        <is>
          <t>2026-08-05</t>
        </is>
      </c>
      <c r="D5" s="19" t="inlineStr">
        <is>
          <t>ORLADO OVALLE</t>
        </is>
      </c>
      <c r="E5" s="19" t="inlineStr">
        <is>
          <t>3204757546</t>
        </is>
      </c>
      <c r="F5" s="19" t="inlineStr">
        <is>
          <t>Laura Caycedo</t>
        </is>
      </c>
      <c r="G5" s="19" t="inlineStr">
        <is>
          <t>devolucion_recibida</t>
        </is>
      </c>
      <c r="H5" s="19" t="inlineStr">
        <is>
          <t>Envía</t>
        </is>
      </c>
      <c r="I5" s="19" t="inlineStr">
        <is>
          <t>954101510483</t>
        </is>
      </c>
      <c r="J5" s="20" t="n">
        <v>259000</v>
      </c>
      <c r="K5" s="24" t="n">
        <v>0</v>
      </c>
    </row>
    <row r="6">
      <c r="A6" s="13" t="inlineStr">
        <is>
          <t>TOTAL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14">
        <f>SUM(J5:J5)</f>
        <v/>
      </c>
      <c r="K6" s="14">
        <f>SUM(K5:K5)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2026-09-09T21:21:15Z</dcterms:created>
  <dcterms:modified xsi:type="dcterms:W3CDTF">2026-09-09T21:21:15Z</dcterms:modified>
</cp:coreProperties>
</file>